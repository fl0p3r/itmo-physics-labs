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per\Desktop\Лабы\1.01 Исследование распределения случайной величины\"/>
    </mc:Choice>
  </mc:AlternateContent>
  <xr:revisionPtr revIDLastSave="0" documentId="13_ncr:1_{54748805-5A5C-48D1-986D-03323ECD2113}" xr6:coauthVersionLast="47" xr6:coauthVersionMax="47" xr10:uidLastSave="{00000000-0000-0000-0000-000000000000}"/>
  <bookViews>
    <workbookView xWindow="-120" yWindow="-120" windowWidth="29040" windowHeight="15720" xr2:uid="{2B17C5EA-B828-4960-9B00-1FCBE90051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1" l="1"/>
  <c r="T5" i="1"/>
  <c r="T6" i="1"/>
  <c r="T7" i="1"/>
  <c r="T8" i="1"/>
  <c r="T9" i="1"/>
  <c r="T10" i="1"/>
  <c r="T11" i="1"/>
  <c r="T12" i="1"/>
  <c r="T13" i="1"/>
  <c r="T4" i="1"/>
  <c r="S5" i="1"/>
  <c r="S6" i="1"/>
  <c r="S7" i="1"/>
  <c r="S8" i="1"/>
  <c r="S9" i="1"/>
  <c r="S10" i="1"/>
  <c r="S11" i="1"/>
  <c r="S12" i="1"/>
  <c r="S13" i="1"/>
  <c r="S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E103" i="1"/>
  <c r="D103" i="1"/>
  <c r="G6" i="1"/>
  <c r="H1" i="1"/>
  <c r="I1" i="1" s="1"/>
  <c r="J1" i="1" s="1"/>
  <c r="K1" i="1" s="1"/>
  <c r="L1" i="1" s="1"/>
  <c r="M1" i="1" s="1"/>
  <c r="N1" i="1" s="1"/>
  <c r="O1" i="1" s="1"/>
  <c r="P1" i="1" s="1"/>
  <c r="Q1" i="1" s="1"/>
  <c r="E2" i="1"/>
  <c r="F2" i="1"/>
</calcChain>
</file>

<file path=xl/sharedStrings.xml><?xml version="1.0" encoding="utf-8"?>
<sst xmlns="http://schemas.openxmlformats.org/spreadsheetml/2006/main" count="18" uniqueCount="18">
  <si>
    <t>№</t>
  </si>
  <si>
    <t>t_i, с</t>
  </si>
  <si>
    <t>t_i - &lt;t&gt;_N, с</t>
  </si>
  <si>
    <t>(t_i - &lt;t&gt;_N)^2, с²</t>
  </si>
  <si>
    <t>t-max</t>
  </si>
  <si>
    <t>t-min</t>
  </si>
  <si>
    <t>4,66-4,712</t>
  </si>
  <si>
    <t>4,712-4,764</t>
  </si>
  <si>
    <t>4,764-4,816</t>
  </si>
  <si>
    <t>4,816-4,868</t>
  </si>
  <si>
    <t>4,868-4,92</t>
  </si>
  <si>
    <t>4,92-4,972</t>
  </si>
  <si>
    <t>4,972-5,024</t>
  </si>
  <si>
    <t>5,024-5,076</t>
  </si>
  <si>
    <t>5,076-5,128</t>
  </si>
  <si>
    <t>5,128-5,18</t>
  </si>
  <si>
    <t>m = 10</t>
  </si>
  <si>
    <t>КЭФ СТУДЕНТА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</si>
</sst>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3269-8EDE-428A-A96A-053038C44628}">
  <dimension ref="A1:AD103"/>
  <sheetViews>
    <sheetView tabSelected="1" zoomScaleNormal="100" workbookViewId="0">
      <selection activeCell="J15" sqref="J15"/>
    </sheetView>
  </sheetViews>
  <sheetFormatPr defaultRowHeight="15" x14ac:dyDescent="0.25"/>
  <cols>
    <col min="3" max="3" width="11.42578125" bestFit="1" customWidth="1"/>
    <col min="4" max="4" width="15.85546875" bestFit="1" customWidth="1"/>
    <col min="7" max="7" width="11.42578125" bestFit="1" customWidth="1"/>
    <col min="8" max="8" width="15.85546875" bestFit="1" customWidth="1"/>
    <col min="9" max="17" width="15.28515625" customWidth="1"/>
    <col min="18" max="18" width="17.42578125" customWidth="1"/>
    <col min="19" max="19" width="15.7109375" customWidth="1"/>
    <col min="30" max="30" width="12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>
        <v>4.66</v>
      </c>
      <c r="H1">
        <f>G1+$G$6</f>
        <v>4.7119999999999997</v>
      </c>
      <c r="I1">
        <f t="shared" ref="I1:Q1" si="0">H1+$G$6</f>
        <v>4.7639999999999993</v>
      </c>
      <c r="J1">
        <f t="shared" si="0"/>
        <v>4.8159999999999989</v>
      </c>
      <c r="K1">
        <f t="shared" si="0"/>
        <v>4.8679999999999986</v>
      </c>
      <c r="L1">
        <f t="shared" si="0"/>
        <v>4.9199999999999982</v>
      </c>
      <c r="M1">
        <f t="shared" si="0"/>
        <v>4.9719999999999978</v>
      </c>
      <c r="N1">
        <f t="shared" si="0"/>
        <v>5.0239999999999974</v>
      </c>
      <c r="O1">
        <f t="shared" si="0"/>
        <v>5.075999999999997</v>
      </c>
      <c r="P1">
        <f>O1+$G$6</f>
        <v>5.1279999999999966</v>
      </c>
      <c r="Q1">
        <f t="shared" si="0"/>
        <v>5.1799999999999962</v>
      </c>
    </row>
    <row r="2" spans="1:30" x14ac:dyDescent="0.25">
      <c r="A2">
        <v>1</v>
      </c>
      <c r="B2">
        <v>4.8099999999999996</v>
      </c>
      <c r="C2">
        <f>B2-4.943</f>
        <v>-0.13300000000000001</v>
      </c>
      <c r="D2">
        <f>C2^2</f>
        <v>1.7689000000000003E-2</v>
      </c>
      <c r="E2">
        <f>MIN(B2:B101)</f>
        <v>4.66</v>
      </c>
      <c r="F2">
        <f>MAX(B2:B101)</f>
        <v>5.18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30" x14ac:dyDescent="0.25">
      <c r="A3">
        <v>2</v>
      </c>
      <c r="B3">
        <v>5.09</v>
      </c>
      <c r="C3">
        <f t="shared" ref="C3:C66" si="1">B3-4.943</f>
        <v>0.14700000000000024</v>
      </c>
      <c r="D3">
        <f t="shared" ref="D3:D66" si="2">C3^2</f>
        <v>2.1609000000000073E-2</v>
      </c>
    </row>
    <row r="4" spans="1:30" x14ac:dyDescent="0.25">
      <c r="A4">
        <v>3</v>
      </c>
      <c r="B4">
        <v>5.0599999999999996</v>
      </c>
      <c r="C4">
        <f t="shared" si="1"/>
        <v>0.11699999999999999</v>
      </c>
      <c r="D4">
        <f t="shared" si="2"/>
        <v>1.3688999999999998E-2</v>
      </c>
      <c r="R4">
        <v>4.6859999999999999</v>
      </c>
      <c r="S4">
        <f>1/(0.112927079*SQRT(2*PI()))*EXP(-((R4-4.943)^2)/(2*0.112927079^2))</f>
        <v>0.26512084902306371</v>
      </c>
      <c r="T4">
        <f>ROUND(S4,3)</f>
        <v>0.26500000000000001</v>
      </c>
      <c r="AD4">
        <v>4.9429999999999996</v>
      </c>
    </row>
    <row r="5" spans="1:30" x14ac:dyDescent="0.25">
      <c r="A5">
        <v>4</v>
      </c>
      <c r="B5">
        <v>4.6900000000000004</v>
      </c>
      <c r="C5">
        <f t="shared" si="1"/>
        <v>-0.25299999999999923</v>
      </c>
      <c r="D5">
        <f t="shared" si="2"/>
        <v>6.4008999999999608E-2</v>
      </c>
      <c r="R5">
        <v>4.7380000000000004</v>
      </c>
      <c r="S5">
        <f t="shared" ref="S5:S13" si="3">1/(0.112927079*SQRT(2*PI()))*EXP(-((R5-4.943)^2)/(2*0.112927079^2))</f>
        <v>0.68001635624291112</v>
      </c>
      <c r="T5">
        <f t="shared" ref="T5:T13" si="4">ROUND(S5,3)</f>
        <v>0.68</v>
      </c>
      <c r="AD5">
        <v>0.112927079</v>
      </c>
    </row>
    <row r="6" spans="1:30" x14ac:dyDescent="0.25">
      <c r="A6">
        <v>5</v>
      </c>
      <c r="B6">
        <v>4.91</v>
      </c>
      <c r="C6">
        <f t="shared" si="1"/>
        <v>-3.2999999999999474E-2</v>
      </c>
      <c r="D6">
        <f t="shared" si="2"/>
        <v>1.0889999999999652E-3</v>
      </c>
      <c r="G6">
        <f>(F2-E2)/10</f>
        <v>5.1999999999999956E-2</v>
      </c>
      <c r="I6" s="1" t="s">
        <v>16</v>
      </c>
      <c r="R6">
        <v>4.79</v>
      </c>
      <c r="S6">
        <f t="shared" si="3"/>
        <v>1.4109401148058405</v>
      </c>
      <c r="T6">
        <f t="shared" si="4"/>
        <v>1.411</v>
      </c>
    </row>
    <row r="7" spans="1:30" x14ac:dyDescent="0.25">
      <c r="A7">
        <v>6</v>
      </c>
      <c r="B7">
        <v>5.0599999999999996</v>
      </c>
      <c r="C7">
        <f t="shared" si="1"/>
        <v>0.11699999999999999</v>
      </c>
      <c r="D7">
        <f t="shared" si="2"/>
        <v>1.3688999999999998E-2</v>
      </c>
      <c r="R7">
        <v>4.8419999999999996</v>
      </c>
      <c r="S7">
        <f t="shared" si="3"/>
        <v>2.3681627686364912</v>
      </c>
      <c r="T7">
        <f t="shared" si="4"/>
        <v>2.3679999999999999</v>
      </c>
    </row>
    <row r="8" spans="1:30" x14ac:dyDescent="0.25">
      <c r="A8">
        <v>7</v>
      </c>
      <c r="B8">
        <v>4.8099999999999996</v>
      </c>
      <c r="C8">
        <f t="shared" si="1"/>
        <v>-0.13300000000000001</v>
      </c>
      <c r="D8">
        <f t="shared" si="2"/>
        <v>1.7689000000000003E-2</v>
      </c>
      <c r="R8">
        <v>4.8940000000000001</v>
      </c>
      <c r="S8">
        <f t="shared" si="3"/>
        <v>3.2153500613352457</v>
      </c>
      <c r="T8">
        <f t="shared" si="4"/>
        <v>3.2149999999999999</v>
      </c>
    </row>
    <row r="9" spans="1:30" x14ac:dyDescent="0.25">
      <c r="A9">
        <v>8</v>
      </c>
      <c r="B9">
        <v>5.15</v>
      </c>
      <c r="C9">
        <f t="shared" si="1"/>
        <v>0.20700000000000074</v>
      </c>
      <c r="D9">
        <f t="shared" si="2"/>
        <v>4.2849000000000304E-2</v>
      </c>
      <c r="R9">
        <v>4.9459999999999997</v>
      </c>
      <c r="S9">
        <f t="shared" si="3"/>
        <v>3.5314960192977107</v>
      </c>
      <c r="T9">
        <f t="shared" si="4"/>
        <v>3.5310000000000001</v>
      </c>
    </row>
    <row r="10" spans="1:30" x14ac:dyDescent="0.25">
      <c r="A10">
        <v>9</v>
      </c>
      <c r="B10">
        <v>4.88</v>
      </c>
      <c r="C10">
        <f t="shared" si="1"/>
        <v>-6.2999999999999723E-2</v>
      </c>
      <c r="D10">
        <f t="shared" si="2"/>
        <v>3.9689999999999647E-3</v>
      </c>
      <c r="R10">
        <v>4.9980000000000002</v>
      </c>
      <c r="S10">
        <f t="shared" si="3"/>
        <v>3.1376386440084447</v>
      </c>
      <c r="T10">
        <f t="shared" si="4"/>
        <v>3.1379999999999999</v>
      </c>
    </row>
    <row r="11" spans="1:30" x14ac:dyDescent="0.25">
      <c r="A11">
        <v>10</v>
      </c>
      <c r="B11">
        <v>4.88</v>
      </c>
      <c r="C11">
        <f t="shared" si="1"/>
        <v>-6.2999999999999723E-2</v>
      </c>
      <c r="D11">
        <f t="shared" si="2"/>
        <v>3.9689999999999647E-3</v>
      </c>
      <c r="R11">
        <v>5.05</v>
      </c>
      <c r="S11">
        <f t="shared" si="3"/>
        <v>2.2550744004437218</v>
      </c>
      <c r="T11">
        <f t="shared" si="4"/>
        <v>2.2549999999999999</v>
      </c>
    </row>
    <row r="12" spans="1:30" x14ac:dyDescent="0.25">
      <c r="A12">
        <v>11</v>
      </c>
      <c r="B12">
        <v>4.9400000000000004</v>
      </c>
      <c r="C12">
        <f t="shared" si="1"/>
        <v>-2.9999999999992255E-3</v>
      </c>
      <c r="D12">
        <f t="shared" si="2"/>
        <v>8.9999999999953534E-6</v>
      </c>
      <c r="R12">
        <v>5.1020000000000003</v>
      </c>
      <c r="S12">
        <f t="shared" si="3"/>
        <v>1.3110901964031751</v>
      </c>
      <c r="T12">
        <f t="shared" si="4"/>
        <v>1.3109999999999999</v>
      </c>
    </row>
    <row r="13" spans="1:30" x14ac:dyDescent="0.25">
      <c r="A13">
        <v>12</v>
      </c>
      <c r="B13">
        <v>5</v>
      </c>
      <c r="C13">
        <f t="shared" si="1"/>
        <v>5.7000000000000384E-2</v>
      </c>
      <c r="D13">
        <f t="shared" si="2"/>
        <v>3.249000000000044E-3</v>
      </c>
      <c r="R13">
        <v>5.1539999999999999</v>
      </c>
      <c r="S13">
        <f t="shared" si="3"/>
        <v>0.61662057308392815</v>
      </c>
      <c r="T13">
        <f t="shared" si="4"/>
        <v>0.61699999999999999</v>
      </c>
    </row>
    <row r="14" spans="1:30" x14ac:dyDescent="0.25">
      <c r="A14">
        <v>13</v>
      </c>
      <c r="B14">
        <v>5.03</v>
      </c>
      <c r="C14">
        <f t="shared" si="1"/>
        <v>8.7000000000000632E-2</v>
      </c>
      <c r="D14">
        <f t="shared" si="2"/>
        <v>7.5690000000001104E-3</v>
      </c>
    </row>
    <row r="15" spans="1:30" x14ac:dyDescent="0.25">
      <c r="A15">
        <v>14</v>
      </c>
      <c r="B15">
        <v>4.75</v>
      </c>
      <c r="C15">
        <f t="shared" si="1"/>
        <v>-0.19299999999999962</v>
      </c>
      <c r="D15">
        <f t="shared" si="2"/>
        <v>3.7248999999999852E-2</v>
      </c>
      <c r="I15" t="s">
        <v>17</v>
      </c>
      <c r="J15">
        <f>_xlfn.T.INV.2T(0.05,99)</f>
        <v>1.9842169515864165</v>
      </c>
    </row>
    <row r="16" spans="1:30" x14ac:dyDescent="0.25">
      <c r="A16">
        <v>15</v>
      </c>
      <c r="B16">
        <v>5.0599999999999996</v>
      </c>
      <c r="C16">
        <f t="shared" si="1"/>
        <v>0.11699999999999999</v>
      </c>
      <c r="D16">
        <f t="shared" si="2"/>
        <v>1.3688999999999998E-2</v>
      </c>
    </row>
    <row r="17" spans="1:4" x14ac:dyDescent="0.25">
      <c r="A17">
        <v>16</v>
      </c>
      <c r="B17">
        <v>4.84</v>
      </c>
      <c r="C17">
        <f t="shared" si="1"/>
        <v>-0.10299999999999976</v>
      </c>
      <c r="D17">
        <f t="shared" si="2"/>
        <v>1.060899999999995E-2</v>
      </c>
    </row>
    <row r="18" spans="1:4" x14ac:dyDescent="0.25">
      <c r="A18">
        <v>17</v>
      </c>
      <c r="B18">
        <v>4.75</v>
      </c>
      <c r="C18">
        <f t="shared" si="1"/>
        <v>-0.19299999999999962</v>
      </c>
      <c r="D18">
        <f t="shared" si="2"/>
        <v>3.7248999999999852E-2</v>
      </c>
    </row>
    <row r="19" spans="1:4" x14ac:dyDescent="0.25">
      <c r="A19">
        <v>18</v>
      </c>
      <c r="B19">
        <v>4.91</v>
      </c>
      <c r="C19">
        <f t="shared" si="1"/>
        <v>-3.2999999999999474E-2</v>
      </c>
      <c r="D19">
        <f t="shared" si="2"/>
        <v>1.0889999999999652E-3</v>
      </c>
    </row>
    <row r="20" spans="1:4" x14ac:dyDescent="0.25">
      <c r="A20">
        <v>19</v>
      </c>
      <c r="B20">
        <v>4.87</v>
      </c>
      <c r="C20">
        <f t="shared" si="1"/>
        <v>-7.299999999999951E-2</v>
      </c>
      <c r="D20">
        <f t="shared" si="2"/>
        <v>5.3289999999999284E-3</v>
      </c>
    </row>
    <row r="21" spans="1:4" x14ac:dyDescent="0.25">
      <c r="A21">
        <v>20</v>
      </c>
      <c r="B21">
        <v>4.97</v>
      </c>
      <c r="C21">
        <f t="shared" si="1"/>
        <v>2.7000000000000135E-2</v>
      </c>
      <c r="D21">
        <f t="shared" si="2"/>
        <v>7.2900000000000731E-4</v>
      </c>
    </row>
    <row r="22" spans="1:4" x14ac:dyDescent="0.25">
      <c r="A22">
        <v>21</v>
      </c>
      <c r="B22">
        <v>4.8499999999999996</v>
      </c>
      <c r="C22">
        <f t="shared" si="1"/>
        <v>-9.2999999999999972E-2</v>
      </c>
      <c r="D22">
        <f t="shared" si="2"/>
        <v>8.6489999999999952E-3</v>
      </c>
    </row>
    <row r="23" spans="1:4" x14ac:dyDescent="0.25">
      <c r="A23">
        <v>22</v>
      </c>
      <c r="B23">
        <v>4.84</v>
      </c>
      <c r="C23">
        <f t="shared" si="1"/>
        <v>-0.10299999999999976</v>
      </c>
      <c r="D23">
        <f t="shared" si="2"/>
        <v>1.060899999999995E-2</v>
      </c>
    </row>
    <row r="24" spans="1:4" x14ac:dyDescent="0.25">
      <c r="A24">
        <v>23</v>
      </c>
      <c r="B24">
        <v>5.0599999999999996</v>
      </c>
      <c r="C24">
        <f t="shared" si="1"/>
        <v>0.11699999999999999</v>
      </c>
      <c r="D24">
        <f t="shared" si="2"/>
        <v>1.3688999999999998E-2</v>
      </c>
    </row>
    <row r="25" spans="1:4" x14ac:dyDescent="0.25">
      <c r="A25">
        <v>24</v>
      </c>
      <c r="B25">
        <v>4.97</v>
      </c>
      <c r="C25">
        <f t="shared" si="1"/>
        <v>2.7000000000000135E-2</v>
      </c>
      <c r="D25">
        <f t="shared" si="2"/>
        <v>7.2900000000000731E-4</v>
      </c>
    </row>
    <row r="26" spans="1:4" x14ac:dyDescent="0.25">
      <c r="A26">
        <v>25</v>
      </c>
      <c r="B26">
        <v>4.9400000000000004</v>
      </c>
      <c r="C26">
        <f t="shared" si="1"/>
        <v>-2.9999999999992255E-3</v>
      </c>
      <c r="D26">
        <f t="shared" si="2"/>
        <v>8.9999999999953534E-6</v>
      </c>
    </row>
    <row r="27" spans="1:4" x14ac:dyDescent="0.25">
      <c r="A27">
        <v>26</v>
      </c>
      <c r="B27">
        <v>4.8499999999999996</v>
      </c>
      <c r="C27">
        <f t="shared" si="1"/>
        <v>-9.2999999999999972E-2</v>
      </c>
      <c r="D27">
        <f t="shared" si="2"/>
        <v>8.6489999999999952E-3</v>
      </c>
    </row>
    <row r="28" spans="1:4" x14ac:dyDescent="0.25">
      <c r="A28">
        <v>27</v>
      </c>
      <c r="B28">
        <v>5</v>
      </c>
      <c r="C28">
        <f t="shared" si="1"/>
        <v>5.7000000000000384E-2</v>
      </c>
      <c r="D28">
        <f t="shared" si="2"/>
        <v>3.249000000000044E-3</v>
      </c>
    </row>
    <row r="29" spans="1:4" x14ac:dyDescent="0.25">
      <c r="A29">
        <v>28</v>
      </c>
      <c r="B29">
        <v>4.9000000000000004</v>
      </c>
      <c r="C29">
        <f t="shared" si="1"/>
        <v>-4.2999999999999261E-2</v>
      </c>
      <c r="D29">
        <f t="shared" si="2"/>
        <v>1.8489999999999364E-3</v>
      </c>
    </row>
    <row r="30" spans="1:4" x14ac:dyDescent="0.25">
      <c r="A30">
        <v>29</v>
      </c>
      <c r="B30">
        <v>5.12</v>
      </c>
      <c r="C30">
        <f t="shared" si="1"/>
        <v>0.17700000000000049</v>
      </c>
      <c r="D30">
        <f t="shared" si="2"/>
        <v>3.1329000000000176E-2</v>
      </c>
    </row>
    <row r="31" spans="1:4" x14ac:dyDescent="0.25">
      <c r="A31">
        <v>30</v>
      </c>
      <c r="B31">
        <v>5.16</v>
      </c>
      <c r="C31">
        <f t="shared" si="1"/>
        <v>0.21700000000000053</v>
      </c>
      <c r="D31">
        <f t="shared" si="2"/>
        <v>4.7089000000000228E-2</v>
      </c>
    </row>
    <row r="32" spans="1:4" x14ac:dyDescent="0.25">
      <c r="A32">
        <v>31</v>
      </c>
      <c r="B32">
        <v>5.07</v>
      </c>
      <c r="C32">
        <f t="shared" si="1"/>
        <v>0.12700000000000067</v>
      </c>
      <c r="D32">
        <f t="shared" si="2"/>
        <v>1.6129000000000171E-2</v>
      </c>
    </row>
    <row r="33" spans="1:4" x14ac:dyDescent="0.25">
      <c r="A33">
        <v>32</v>
      </c>
      <c r="B33">
        <v>4.87</v>
      </c>
      <c r="C33">
        <f t="shared" si="1"/>
        <v>-7.299999999999951E-2</v>
      </c>
      <c r="D33">
        <f t="shared" si="2"/>
        <v>5.3289999999999284E-3</v>
      </c>
    </row>
    <row r="34" spans="1:4" x14ac:dyDescent="0.25">
      <c r="A34">
        <v>33</v>
      </c>
      <c r="B34">
        <v>5.03</v>
      </c>
      <c r="C34">
        <f t="shared" si="1"/>
        <v>8.7000000000000632E-2</v>
      </c>
      <c r="D34">
        <f t="shared" si="2"/>
        <v>7.5690000000001104E-3</v>
      </c>
    </row>
    <row r="35" spans="1:4" x14ac:dyDescent="0.25">
      <c r="A35">
        <v>34</v>
      </c>
      <c r="B35">
        <v>5.0599999999999996</v>
      </c>
      <c r="C35">
        <f t="shared" si="1"/>
        <v>0.11699999999999999</v>
      </c>
      <c r="D35">
        <f t="shared" si="2"/>
        <v>1.3688999999999998E-2</v>
      </c>
    </row>
    <row r="36" spans="1:4" x14ac:dyDescent="0.25">
      <c r="A36">
        <v>35</v>
      </c>
      <c r="B36">
        <v>4.6900000000000004</v>
      </c>
      <c r="C36">
        <f t="shared" si="1"/>
        <v>-0.25299999999999923</v>
      </c>
      <c r="D36">
        <f t="shared" si="2"/>
        <v>6.4008999999999608E-2</v>
      </c>
    </row>
    <row r="37" spans="1:4" x14ac:dyDescent="0.25">
      <c r="A37">
        <v>36</v>
      </c>
      <c r="B37">
        <v>5.03</v>
      </c>
      <c r="C37">
        <f t="shared" si="1"/>
        <v>8.7000000000000632E-2</v>
      </c>
      <c r="D37">
        <f t="shared" si="2"/>
        <v>7.5690000000001104E-3</v>
      </c>
    </row>
    <row r="38" spans="1:4" x14ac:dyDescent="0.25">
      <c r="A38">
        <v>37</v>
      </c>
      <c r="B38">
        <v>4.93</v>
      </c>
      <c r="C38">
        <f t="shared" si="1"/>
        <v>-1.2999999999999901E-2</v>
      </c>
      <c r="D38">
        <f t="shared" si="2"/>
        <v>1.6899999999999741E-4</v>
      </c>
    </row>
    <row r="39" spans="1:4" x14ac:dyDescent="0.25">
      <c r="A39">
        <v>38</v>
      </c>
      <c r="B39">
        <v>4.8499999999999996</v>
      </c>
      <c r="C39">
        <f t="shared" si="1"/>
        <v>-9.2999999999999972E-2</v>
      </c>
      <c r="D39">
        <f t="shared" si="2"/>
        <v>8.6489999999999952E-3</v>
      </c>
    </row>
    <row r="40" spans="1:4" x14ac:dyDescent="0.25">
      <c r="A40">
        <v>39</v>
      </c>
      <c r="B40">
        <v>5.09</v>
      </c>
      <c r="C40">
        <f t="shared" si="1"/>
        <v>0.14700000000000024</v>
      </c>
      <c r="D40">
        <f t="shared" si="2"/>
        <v>2.1609000000000073E-2</v>
      </c>
    </row>
    <row r="41" spans="1:4" x14ac:dyDescent="0.25">
      <c r="A41">
        <v>40</v>
      </c>
      <c r="B41">
        <v>5.09</v>
      </c>
      <c r="C41">
        <f t="shared" si="1"/>
        <v>0.14700000000000024</v>
      </c>
      <c r="D41">
        <f t="shared" si="2"/>
        <v>2.1609000000000073E-2</v>
      </c>
    </row>
    <row r="42" spans="1:4" x14ac:dyDescent="0.25">
      <c r="A42">
        <v>41</v>
      </c>
      <c r="B42">
        <v>5.0599999999999996</v>
      </c>
      <c r="C42">
        <f t="shared" si="1"/>
        <v>0.11699999999999999</v>
      </c>
      <c r="D42">
        <f t="shared" si="2"/>
        <v>1.3688999999999998E-2</v>
      </c>
    </row>
    <row r="43" spans="1:4" x14ac:dyDescent="0.25">
      <c r="A43">
        <v>42</v>
      </c>
      <c r="B43">
        <v>5.0599999999999996</v>
      </c>
      <c r="C43">
        <f t="shared" si="1"/>
        <v>0.11699999999999999</v>
      </c>
      <c r="D43">
        <f t="shared" si="2"/>
        <v>1.3688999999999998E-2</v>
      </c>
    </row>
    <row r="44" spans="1:4" x14ac:dyDescent="0.25">
      <c r="A44">
        <v>43</v>
      </c>
      <c r="B44">
        <v>4.9000000000000004</v>
      </c>
      <c r="C44">
        <f t="shared" si="1"/>
        <v>-4.2999999999999261E-2</v>
      </c>
      <c r="D44">
        <f t="shared" si="2"/>
        <v>1.8489999999999364E-3</v>
      </c>
    </row>
    <row r="45" spans="1:4" x14ac:dyDescent="0.25">
      <c r="A45">
        <v>44</v>
      </c>
      <c r="B45">
        <v>4.84</v>
      </c>
      <c r="C45">
        <f t="shared" si="1"/>
        <v>-0.10299999999999976</v>
      </c>
      <c r="D45">
        <f t="shared" si="2"/>
        <v>1.060899999999995E-2</v>
      </c>
    </row>
    <row r="46" spans="1:4" x14ac:dyDescent="0.25">
      <c r="A46">
        <v>45</v>
      </c>
      <c r="B46">
        <v>5.03</v>
      </c>
      <c r="C46">
        <f t="shared" si="1"/>
        <v>8.7000000000000632E-2</v>
      </c>
      <c r="D46">
        <f t="shared" si="2"/>
        <v>7.5690000000001104E-3</v>
      </c>
    </row>
    <row r="47" spans="1:4" x14ac:dyDescent="0.25">
      <c r="A47">
        <v>46</v>
      </c>
      <c r="B47">
        <v>5</v>
      </c>
      <c r="C47">
        <f t="shared" si="1"/>
        <v>5.7000000000000384E-2</v>
      </c>
      <c r="D47">
        <f t="shared" si="2"/>
        <v>3.249000000000044E-3</v>
      </c>
    </row>
    <row r="48" spans="1:4" x14ac:dyDescent="0.25">
      <c r="A48">
        <v>47</v>
      </c>
      <c r="B48">
        <v>5.0999999999999996</v>
      </c>
      <c r="C48">
        <f t="shared" si="1"/>
        <v>0.15700000000000003</v>
      </c>
      <c r="D48">
        <f t="shared" si="2"/>
        <v>2.4649000000000008E-2</v>
      </c>
    </row>
    <row r="49" spans="1:4" x14ac:dyDescent="0.25">
      <c r="A49">
        <v>48</v>
      </c>
      <c r="B49">
        <v>5.0599999999999996</v>
      </c>
      <c r="C49">
        <f t="shared" si="1"/>
        <v>0.11699999999999999</v>
      </c>
      <c r="D49">
        <f t="shared" si="2"/>
        <v>1.3688999999999998E-2</v>
      </c>
    </row>
    <row r="50" spans="1:4" x14ac:dyDescent="0.25">
      <c r="A50">
        <v>49</v>
      </c>
      <c r="B50">
        <v>5.03</v>
      </c>
      <c r="C50">
        <f t="shared" si="1"/>
        <v>8.7000000000000632E-2</v>
      </c>
      <c r="D50">
        <f t="shared" si="2"/>
        <v>7.5690000000001104E-3</v>
      </c>
    </row>
    <row r="51" spans="1:4" x14ac:dyDescent="0.25">
      <c r="A51">
        <v>50</v>
      </c>
      <c r="B51">
        <v>4.78</v>
      </c>
      <c r="C51">
        <f t="shared" si="1"/>
        <v>-0.16299999999999937</v>
      </c>
      <c r="D51">
        <f t="shared" si="2"/>
        <v>2.6568999999999794E-2</v>
      </c>
    </row>
    <row r="52" spans="1:4" x14ac:dyDescent="0.25">
      <c r="A52">
        <v>51</v>
      </c>
      <c r="B52">
        <v>4.8499999999999996</v>
      </c>
      <c r="C52">
        <f t="shared" si="1"/>
        <v>-9.2999999999999972E-2</v>
      </c>
      <c r="D52">
        <f t="shared" si="2"/>
        <v>8.6489999999999952E-3</v>
      </c>
    </row>
    <row r="53" spans="1:4" x14ac:dyDescent="0.25">
      <c r="A53">
        <v>52</v>
      </c>
      <c r="B53">
        <v>4.75</v>
      </c>
      <c r="C53">
        <f t="shared" si="1"/>
        <v>-0.19299999999999962</v>
      </c>
      <c r="D53">
        <f t="shared" si="2"/>
        <v>3.7248999999999852E-2</v>
      </c>
    </row>
    <row r="54" spans="1:4" x14ac:dyDescent="0.25">
      <c r="A54">
        <v>53</v>
      </c>
      <c r="B54">
        <v>5.01</v>
      </c>
      <c r="C54">
        <f t="shared" si="1"/>
        <v>6.7000000000000171E-2</v>
      </c>
      <c r="D54">
        <f t="shared" si="2"/>
        <v>4.4890000000000225E-3</v>
      </c>
    </row>
    <row r="55" spans="1:4" x14ac:dyDescent="0.25">
      <c r="A55">
        <v>54</v>
      </c>
      <c r="B55">
        <v>4.7300000000000004</v>
      </c>
      <c r="C55">
        <f t="shared" si="1"/>
        <v>-0.21299999999999919</v>
      </c>
      <c r="D55">
        <f t="shared" si="2"/>
        <v>4.5368999999999653E-2</v>
      </c>
    </row>
    <row r="56" spans="1:4" x14ac:dyDescent="0.25">
      <c r="A56">
        <v>55</v>
      </c>
      <c r="B56">
        <v>4.84</v>
      </c>
      <c r="C56">
        <f t="shared" si="1"/>
        <v>-0.10299999999999976</v>
      </c>
      <c r="D56">
        <f t="shared" si="2"/>
        <v>1.060899999999995E-2</v>
      </c>
    </row>
    <row r="57" spans="1:4" x14ac:dyDescent="0.25">
      <c r="A57">
        <v>56</v>
      </c>
      <c r="B57">
        <v>4.9000000000000004</v>
      </c>
      <c r="C57">
        <f t="shared" si="1"/>
        <v>-4.2999999999999261E-2</v>
      </c>
      <c r="D57">
        <f t="shared" si="2"/>
        <v>1.8489999999999364E-3</v>
      </c>
    </row>
    <row r="58" spans="1:4" x14ac:dyDescent="0.25">
      <c r="A58">
        <v>57</v>
      </c>
      <c r="B58">
        <v>5.01</v>
      </c>
      <c r="C58">
        <f t="shared" si="1"/>
        <v>6.7000000000000171E-2</v>
      </c>
      <c r="D58">
        <f t="shared" si="2"/>
        <v>4.4890000000000225E-3</v>
      </c>
    </row>
    <row r="59" spans="1:4" x14ac:dyDescent="0.25">
      <c r="A59">
        <v>58</v>
      </c>
      <c r="B59">
        <v>4.95</v>
      </c>
      <c r="C59">
        <f t="shared" si="1"/>
        <v>7.0000000000005613E-3</v>
      </c>
      <c r="D59">
        <f t="shared" si="2"/>
        <v>4.9000000000007859E-5</v>
      </c>
    </row>
    <row r="60" spans="1:4" x14ac:dyDescent="0.25">
      <c r="A60">
        <v>59</v>
      </c>
      <c r="B60">
        <v>4.99</v>
      </c>
      <c r="C60">
        <f t="shared" si="1"/>
        <v>4.7000000000000597E-2</v>
      </c>
      <c r="D60">
        <f t="shared" si="2"/>
        <v>2.209000000000056E-3</v>
      </c>
    </row>
    <row r="61" spans="1:4" x14ac:dyDescent="0.25">
      <c r="A61">
        <v>60</v>
      </c>
      <c r="B61">
        <v>5.0599999999999996</v>
      </c>
      <c r="C61">
        <f t="shared" si="1"/>
        <v>0.11699999999999999</v>
      </c>
      <c r="D61">
        <f t="shared" si="2"/>
        <v>1.3688999999999998E-2</v>
      </c>
    </row>
    <row r="62" spans="1:4" x14ac:dyDescent="0.25">
      <c r="A62">
        <v>61</v>
      </c>
      <c r="B62">
        <v>5</v>
      </c>
      <c r="C62">
        <f t="shared" si="1"/>
        <v>5.7000000000000384E-2</v>
      </c>
      <c r="D62">
        <f t="shared" si="2"/>
        <v>3.249000000000044E-3</v>
      </c>
    </row>
    <row r="63" spans="1:4" x14ac:dyDescent="0.25">
      <c r="A63">
        <v>62</v>
      </c>
      <c r="B63">
        <v>4.88</v>
      </c>
      <c r="C63">
        <f t="shared" si="1"/>
        <v>-6.2999999999999723E-2</v>
      </c>
      <c r="D63">
        <f t="shared" si="2"/>
        <v>3.9689999999999647E-3</v>
      </c>
    </row>
    <row r="64" spans="1:4" x14ac:dyDescent="0.25">
      <c r="A64">
        <v>63</v>
      </c>
      <c r="B64">
        <v>5</v>
      </c>
      <c r="C64">
        <f t="shared" si="1"/>
        <v>5.7000000000000384E-2</v>
      </c>
      <c r="D64">
        <f t="shared" si="2"/>
        <v>3.249000000000044E-3</v>
      </c>
    </row>
    <row r="65" spans="1:4" x14ac:dyDescent="0.25">
      <c r="A65">
        <v>64</v>
      </c>
      <c r="B65">
        <v>4.9800000000000004</v>
      </c>
      <c r="C65">
        <f t="shared" si="1"/>
        <v>3.700000000000081E-2</v>
      </c>
      <c r="D65">
        <f t="shared" si="2"/>
        <v>1.3690000000000598E-3</v>
      </c>
    </row>
    <row r="66" spans="1:4" x14ac:dyDescent="0.25">
      <c r="A66">
        <v>65</v>
      </c>
      <c r="B66">
        <v>4.66</v>
      </c>
      <c r="C66">
        <f t="shared" si="1"/>
        <v>-0.28299999999999947</v>
      </c>
      <c r="D66">
        <f t="shared" si="2"/>
        <v>8.0088999999999702E-2</v>
      </c>
    </row>
    <row r="67" spans="1:4" x14ac:dyDescent="0.25">
      <c r="A67">
        <v>66</v>
      </c>
      <c r="B67">
        <v>4.96</v>
      </c>
      <c r="C67">
        <f t="shared" ref="C67:C101" si="5">B67-4.943</f>
        <v>1.7000000000000348E-2</v>
      </c>
      <c r="D67">
        <f t="shared" ref="D67:D101" si="6">C67^2</f>
        <v>2.8900000000001185E-4</v>
      </c>
    </row>
    <row r="68" spans="1:4" x14ac:dyDescent="0.25">
      <c r="A68">
        <v>67</v>
      </c>
      <c r="B68">
        <v>4.93</v>
      </c>
      <c r="C68">
        <f t="shared" si="5"/>
        <v>-1.2999999999999901E-2</v>
      </c>
      <c r="D68">
        <f t="shared" si="6"/>
        <v>1.6899999999999741E-4</v>
      </c>
    </row>
    <row r="69" spans="1:4" x14ac:dyDescent="0.25">
      <c r="A69">
        <v>68</v>
      </c>
      <c r="B69">
        <v>4.99</v>
      </c>
      <c r="C69">
        <f t="shared" si="5"/>
        <v>4.7000000000000597E-2</v>
      </c>
      <c r="D69">
        <f t="shared" si="6"/>
        <v>2.209000000000056E-3</v>
      </c>
    </row>
    <row r="70" spans="1:4" x14ac:dyDescent="0.25">
      <c r="A70">
        <v>69</v>
      </c>
      <c r="B70">
        <v>4.96</v>
      </c>
      <c r="C70">
        <f t="shared" si="5"/>
        <v>1.7000000000000348E-2</v>
      </c>
      <c r="D70">
        <f t="shared" si="6"/>
        <v>2.8900000000001185E-4</v>
      </c>
    </row>
    <row r="71" spans="1:4" x14ac:dyDescent="0.25">
      <c r="A71">
        <v>70</v>
      </c>
      <c r="B71">
        <v>4.76</v>
      </c>
      <c r="C71">
        <f t="shared" si="5"/>
        <v>-0.18299999999999983</v>
      </c>
      <c r="D71">
        <f t="shared" si="6"/>
        <v>3.3488999999999935E-2</v>
      </c>
    </row>
    <row r="72" spans="1:4" x14ac:dyDescent="0.25">
      <c r="A72">
        <v>71</v>
      </c>
      <c r="B72">
        <v>4.8</v>
      </c>
      <c r="C72">
        <f t="shared" si="5"/>
        <v>-0.14299999999999979</v>
      </c>
      <c r="D72">
        <f t="shared" si="6"/>
        <v>2.0448999999999939E-2</v>
      </c>
    </row>
    <row r="73" spans="1:4" x14ac:dyDescent="0.25">
      <c r="A73">
        <v>72</v>
      </c>
      <c r="B73">
        <v>5.09</v>
      </c>
      <c r="C73">
        <f t="shared" si="5"/>
        <v>0.14700000000000024</v>
      </c>
      <c r="D73">
        <f t="shared" si="6"/>
        <v>2.1609000000000073E-2</v>
      </c>
    </row>
    <row r="74" spans="1:4" x14ac:dyDescent="0.25">
      <c r="A74">
        <v>73</v>
      </c>
      <c r="B74">
        <v>4.88</v>
      </c>
      <c r="C74">
        <f t="shared" si="5"/>
        <v>-6.2999999999999723E-2</v>
      </c>
      <c r="D74">
        <f t="shared" si="6"/>
        <v>3.9689999999999647E-3</v>
      </c>
    </row>
    <row r="75" spans="1:4" x14ac:dyDescent="0.25">
      <c r="A75">
        <v>74</v>
      </c>
      <c r="B75">
        <v>5</v>
      </c>
      <c r="C75">
        <f t="shared" si="5"/>
        <v>5.7000000000000384E-2</v>
      </c>
      <c r="D75">
        <f t="shared" si="6"/>
        <v>3.249000000000044E-3</v>
      </c>
    </row>
    <row r="76" spans="1:4" x14ac:dyDescent="0.25">
      <c r="A76">
        <v>75</v>
      </c>
      <c r="B76">
        <v>4.8899999999999997</v>
      </c>
      <c r="C76">
        <f t="shared" si="5"/>
        <v>-5.2999999999999936E-2</v>
      </c>
      <c r="D76">
        <f t="shared" si="6"/>
        <v>2.8089999999999934E-3</v>
      </c>
    </row>
    <row r="77" spans="1:4" x14ac:dyDescent="0.25">
      <c r="A77">
        <v>76</v>
      </c>
      <c r="B77">
        <v>5.01</v>
      </c>
      <c r="C77">
        <f t="shared" si="5"/>
        <v>6.7000000000000171E-2</v>
      </c>
      <c r="D77">
        <f t="shared" si="6"/>
        <v>4.4890000000000225E-3</v>
      </c>
    </row>
    <row r="78" spans="1:4" x14ac:dyDescent="0.25">
      <c r="A78">
        <v>77</v>
      </c>
      <c r="B78">
        <v>4.8600000000000003</v>
      </c>
      <c r="C78">
        <f t="shared" si="5"/>
        <v>-8.2999999999999297E-2</v>
      </c>
      <c r="D78">
        <f t="shared" si="6"/>
        <v>6.8889999999998831E-3</v>
      </c>
    </row>
    <row r="79" spans="1:4" x14ac:dyDescent="0.25">
      <c r="A79">
        <v>78</v>
      </c>
      <c r="B79">
        <v>4.8600000000000003</v>
      </c>
      <c r="C79">
        <f t="shared" si="5"/>
        <v>-8.2999999999999297E-2</v>
      </c>
      <c r="D79">
        <f t="shared" si="6"/>
        <v>6.8889999999998831E-3</v>
      </c>
    </row>
    <row r="80" spans="1:4" x14ac:dyDescent="0.25">
      <c r="A80">
        <v>79</v>
      </c>
      <c r="B80">
        <v>4.91</v>
      </c>
      <c r="C80">
        <f t="shared" si="5"/>
        <v>-3.2999999999999474E-2</v>
      </c>
      <c r="D80">
        <f t="shared" si="6"/>
        <v>1.0889999999999652E-3</v>
      </c>
    </row>
    <row r="81" spans="1:4" x14ac:dyDescent="0.25">
      <c r="A81">
        <v>80</v>
      </c>
      <c r="B81">
        <v>4.93</v>
      </c>
      <c r="C81">
        <f t="shared" si="5"/>
        <v>-1.2999999999999901E-2</v>
      </c>
      <c r="D81">
        <f t="shared" si="6"/>
        <v>1.6899999999999741E-4</v>
      </c>
    </row>
    <row r="82" spans="1:4" x14ac:dyDescent="0.25">
      <c r="A82">
        <v>81</v>
      </c>
      <c r="B82">
        <v>4.83</v>
      </c>
      <c r="C82">
        <f t="shared" si="5"/>
        <v>-0.11299999999999955</v>
      </c>
      <c r="D82">
        <f t="shared" si="6"/>
        <v>1.2768999999999897E-2</v>
      </c>
    </row>
    <row r="83" spans="1:4" x14ac:dyDescent="0.25">
      <c r="A83">
        <v>82</v>
      </c>
      <c r="B83">
        <v>5.0999999999999996</v>
      </c>
      <c r="C83">
        <f t="shared" si="5"/>
        <v>0.15700000000000003</v>
      </c>
      <c r="D83">
        <f t="shared" si="6"/>
        <v>2.4649000000000008E-2</v>
      </c>
    </row>
    <row r="84" spans="1:4" x14ac:dyDescent="0.25">
      <c r="A84">
        <v>83</v>
      </c>
      <c r="B84">
        <v>4.9000000000000004</v>
      </c>
      <c r="C84">
        <f t="shared" si="5"/>
        <v>-4.2999999999999261E-2</v>
      </c>
      <c r="D84">
        <f t="shared" si="6"/>
        <v>1.8489999999999364E-3</v>
      </c>
    </row>
    <row r="85" spans="1:4" x14ac:dyDescent="0.25">
      <c r="A85">
        <v>84</v>
      </c>
      <c r="B85">
        <v>5.18</v>
      </c>
      <c r="C85">
        <f t="shared" si="5"/>
        <v>0.2370000000000001</v>
      </c>
      <c r="D85">
        <f t="shared" si="6"/>
        <v>5.6169000000000045E-2</v>
      </c>
    </row>
    <row r="86" spans="1:4" x14ac:dyDescent="0.25">
      <c r="A86">
        <v>85</v>
      </c>
      <c r="B86">
        <v>4.8</v>
      </c>
      <c r="C86">
        <f t="shared" si="5"/>
        <v>-0.14299999999999979</v>
      </c>
      <c r="D86">
        <f t="shared" si="6"/>
        <v>2.0448999999999939E-2</v>
      </c>
    </row>
    <row r="87" spans="1:4" x14ac:dyDescent="0.25">
      <c r="A87">
        <v>86</v>
      </c>
      <c r="B87">
        <v>4.88</v>
      </c>
      <c r="C87">
        <f t="shared" si="5"/>
        <v>-6.2999999999999723E-2</v>
      </c>
      <c r="D87">
        <f t="shared" si="6"/>
        <v>3.9689999999999647E-3</v>
      </c>
    </row>
    <row r="88" spans="1:4" x14ac:dyDescent="0.25">
      <c r="A88">
        <v>87</v>
      </c>
      <c r="B88">
        <v>5.03</v>
      </c>
      <c r="C88">
        <f t="shared" si="5"/>
        <v>8.7000000000000632E-2</v>
      </c>
      <c r="D88">
        <f t="shared" si="6"/>
        <v>7.5690000000001104E-3</v>
      </c>
    </row>
    <row r="89" spans="1:4" x14ac:dyDescent="0.25">
      <c r="A89">
        <v>88</v>
      </c>
      <c r="B89">
        <v>4.96</v>
      </c>
      <c r="C89">
        <f t="shared" si="5"/>
        <v>1.7000000000000348E-2</v>
      </c>
      <c r="D89">
        <f t="shared" si="6"/>
        <v>2.8900000000001185E-4</v>
      </c>
    </row>
    <row r="90" spans="1:4" x14ac:dyDescent="0.25">
      <c r="A90">
        <v>89</v>
      </c>
      <c r="B90">
        <v>4.84</v>
      </c>
      <c r="C90">
        <f t="shared" si="5"/>
        <v>-0.10299999999999976</v>
      </c>
      <c r="D90">
        <f t="shared" si="6"/>
        <v>1.060899999999995E-2</v>
      </c>
    </row>
    <row r="91" spans="1:4" x14ac:dyDescent="0.25">
      <c r="A91">
        <v>90</v>
      </c>
      <c r="B91">
        <v>4.9800000000000004</v>
      </c>
      <c r="C91">
        <f t="shared" si="5"/>
        <v>3.700000000000081E-2</v>
      </c>
      <c r="D91">
        <f t="shared" si="6"/>
        <v>1.3690000000000598E-3</v>
      </c>
    </row>
    <row r="92" spans="1:4" x14ac:dyDescent="0.25">
      <c r="A92">
        <v>91</v>
      </c>
      <c r="B92">
        <v>5</v>
      </c>
      <c r="C92">
        <f t="shared" si="5"/>
        <v>5.7000000000000384E-2</v>
      </c>
      <c r="D92">
        <f t="shared" si="6"/>
        <v>3.249000000000044E-3</v>
      </c>
    </row>
    <row r="93" spans="1:4" x14ac:dyDescent="0.25">
      <c r="A93">
        <v>92</v>
      </c>
      <c r="B93">
        <v>4.93</v>
      </c>
      <c r="C93">
        <f t="shared" si="5"/>
        <v>-1.2999999999999901E-2</v>
      </c>
      <c r="D93">
        <f t="shared" si="6"/>
        <v>1.6899999999999741E-4</v>
      </c>
    </row>
    <row r="94" spans="1:4" x14ac:dyDescent="0.25">
      <c r="A94">
        <v>93</v>
      </c>
      <c r="B94">
        <v>4.96</v>
      </c>
      <c r="C94">
        <f t="shared" si="5"/>
        <v>1.7000000000000348E-2</v>
      </c>
      <c r="D94">
        <f t="shared" si="6"/>
        <v>2.8900000000001185E-4</v>
      </c>
    </row>
    <row r="95" spans="1:4" x14ac:dyDescent="0.25">
      <c r="A95">
        <v>94</v>
      </c>
      <c r="B95">
        <v>4.83</v>
      </c>
      <c r="C95">
        <f t="shared" si="5"/>
        <v>-0.11299999999999955</v>
      </c>
      <c r="D95">
        <f t="shared" si="6"/>
        <v>1.2768999999999897E-2</v>
      </c>
    </row>
    <row r="96" spans="1:4" x14ac:dyDescent="0.25">
      <c r="A96">
        <v>95</v>
      </c>
      <c r="B96">
        <v>5.03</v>
      </c>
      <c r="C96">
        <f t="shared" si="5"/>
        <v>8.7000000000000632E-2</v>
      </c>
      <c r="D96">
        <f t="shared" si="6"/>
        <v>7.5690000000001104E-3</v>
      </c>
    </row>
    <row r="97" spans="1:5" x14ac:dyDescent="0.25">
      <c r="A97">
        <v>96</v>
      </c>
      <c r="B97">
        <v>5.03</v>
      </c>
      <c r="C97">
        <f t="shared" si="5"/>
        <v>8.7000000000000632E-2</v>
      </c>
      <c r="D97">
        <f t="shared" si="6"/>
        <v>7.5690000000001104E-3</v>
      </c>
    </row>
    <row r="98" spans="1:5" x14ac:dyDescent="0.25">
      <c r="A98">
        <v>97</v>
      </c>
      <c r="B98">
        <v>4.93</v>
      </c>
      <c r="C98">
        <f t="shared" si="5"/>
        <v>-1.2999999999999901E-2</v>
      </c>
      <c r="D98">
        <f t="shared" si="6"/>
        <v>1.6899999999999741E-4</v>
      </c>
    </row>
    <row r="99" spans="1:5" x14ac:dyDescent="0.25">
      <c r="A99">
        <v>98</v>
      </c>
      <c r="B99">
        <v>5.1100000000000003</v>
      </c>
      <c r="C99">
        <f t="shared" si="5"/>
        <v>0.1670000000000007</v>
      </c>
      <c r="D99">
        <f t="shared" si="6"/>
        <v>2.7889000000000237E-2</v>
      </c>
    </row>
    <row r="100" spans="1:5" x14ac:dyDescent="0.25">
      <c r="A100">
        <v>99</v>
      </c>
      <c r="B100">
        <v>4.91</v>
      </c>
      <c r="C100">
        <f t="shared" si="5"/>
        <v>-3.2999999999999474E-2</v>
      </c>
      <c r="D100">
        <f t="shared" si="6"/>
        <v>1.0889999999999652E-3</v>
      </c>
    </row>
    <row r="101" spans="1:5" x14ac:dyDescent="0.25">
      <c r="A101">
        <v>100</v>
      </c>
      <c r="B101">
        <v>4.91</v>
      </c>
      <c r="C101">
        <f t="shared" si="5"/>
        <v>-3.2999999999999474E-2</v>
      </c>
      <c r="D101">
        <f t="shared" si="6"/>
        <v>1.0889999999999652E-3</v>
      </c>
    </row>
    <row r="103" spans="1:5" x14ac:dyDescent="0.25">
      <c r="D103">
        <f>SUM(B2:B101)/100</f>
        <v>4.9429999999999996</v>
      </c>
      <c r="E103">
        <f>_xlfn.STDEV.S(B2:B101)</f>
        <v>0.11292707935887321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Korovin</dc:creator>
  <cp:lastModifiedBy>Ivan Korovin</cp:lastModifiedBy>
  <dcterms:created xsi:type="dcterms:W3CDTF">2026-09-05T19:31:20Z</dcterms:created>
  <dcterms:modified xsi:type="dcterms:W3CDTF">2026-09-06T20:08:22Z</dcterms:modified>
</cp:coreProperties>
</file>